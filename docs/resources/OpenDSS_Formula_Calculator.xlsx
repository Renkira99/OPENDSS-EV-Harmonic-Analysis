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88" i="1" l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G87" i="1"/>
  <c r="F8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57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58" i="1"/>
  <c r="F59" i="1"/>
  <c r="F60" i="1"/>
  <c r="F57" i="1"/>
  <c r="F39" i="1" l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3" i="1"/>
  <c r="G3" i="1" s="1"/>
</calcChain>
</file>

<file path=xl/sharedStrings.xml><?xml version="1.0" encoding="utf-8"?>
<sst xmlns="http://schemas.openxmlformats.org/spreadsheetml/2006/main" count="130" uniqueCount="130">
  <si>
    <t>Dairy Old</t>
  </si>
  <si>
    <t xml:space="preserve">Forensic </t>
  </si>
  <si>
    <t>Dada Vaidhya/ Ganganagar</t>
  </si>
  <si>
    <t>Kayji Garden  ( Agarwal Apt)</t>
  </si>
  <si>
    <t>Fiber Glass</t>
  </si>
  <si>
    <t>Yummy</t>
  </si>
  <si>
    <t>Shivlal</t>
  </si>
  <si>
    <t>Prakash Corrugeted</t>
  </si>
  <si>
    <t xml:space="preserve">Kapat Factory </t>
  </si>
  <si>
    <t>K.G Skyline</t>
  </si>
  <si>
    <t>Navajeevan/ Rudra Developers</t>
  </si>
  <si>
    <t>Associate (bldr)</t>
  </si>
  <si>
    <t>Kendriya Vidhyalay</t>
  </si>
  <si>
    <t>Korde</t>
  </si>
  <si>
    <t>ECAP HTC</t>
  </si>
  <si>
    <t>Agarwal HTC (Doop)</t>
  </si>
  <si>
    <t>Goa Dairy HTC</t>
  </si>
  <si>
    <t>Microwave</t>
  </si>
  <si>
    <t>Kelbai</t>
  </si>
  <si>
    <t>Docter Bhakhale</t>
  </si>
  <si>
    <t>Surya Masala</t>
  </si>
  <si>
    <t>Pisgal</t>
  </si>
  <si>
    <t xml:space="preserve">Verekar </t>
  </si>
  <si>
    <t>S.No.</t>
  </si>
  <si>
    <t>Transformer kVA</t>
  </si>
  <si>
    <t>% Loading</t>
  </si>
  <si>
    <t>Power Factor</t>
  </si>
  <si>
    <t>kW</t>
  </si>
  <si>
    <t>kVAR</t>
  </si>
  <si>
    <t>TRANSFORMER</t>
  </si>
  <si>
    <t>Agarwal</t>
  </si>
  <si>
    <t>Shapur</t>
  </si>
  <si>
    <t>Ambegal</t>
  </si>
  <si>
    <t>Patantali</t>
  </si>
  <si>
    <t>Panakaj Builders</t>
  </si>
  <si>
    <t>Kashimath</t>
  </si>
  <si>
    <t>GVMS</t>
  </si>
  <si>
    <t>Sahakari</t>
  </si>
  <si>
    <t>IMA</t>
  </si>
  <si>
    <t>Shivnagari</t>
  </si>
  <si>
    <t>Ganesh Temple</t>
  </si>
  <si>
    <t>GTDC/Tourist Deaprtment</t>
  </si>
  <si>
    <t>PES</t>
  </si>
  <si>
    <t>Sunrise cashew</t>
  </si>
  <si>
    <t>Housing Board New Farmagudi</t>
  </si>
  <si>
    <t>Housing Board I</t>
  </si>
  <si>
    <t>Saad  Samrudhi Phase II</t>
  </si>
  <si>
    <t>saad I</t>
  </si>
  <si>
    <t>saad II</t>
  </si>
  <si>
    <t xml:space="preserve">Katmgaal </t>
  </si>
  <si>
    <t>Conem II</t>
  </si>
  <si>
    <t>Conem I Highway</t>
  </si>
  <si>
    <t>NIT HTC</t>
  </si>
  <si>
    <t>6TTR HTC</t>
  </si>
  <si>
    <t>ITI HTC</t>
  </si>
  <si>
    <t>Chirputem Primary School</t>
  </si>
  <si>
    <t>RTO office New</t>
  </si>
  <si>
    <t>Ambegal II</t>
  </si>
  <si>
    <t>Military Gate</t>
  </si>
  <si>
    <t>CURTI FEEDER</t>
  </si>
  <si>
    <t>FARMAGUDI FEEDER</t>
  </si>
  <si>
    <t>KHADPABANDH FEEDER</t>
  </si>
  <si>
    <t>Colony</t>
  </si>
  <si>
    <t>Lotlikar/ Naga masjid</t>
  </si>
  <si>
    <t>USMANIA</t>
  </si>
  <si>
    <t>Varkhande</t>
  </si>
  <si>
    <t>Vrudhavan Garden</t>
  </si>
  <si>
    <t>Nagamasjid new</t>
  </si>
  <si>
    <t>Angarki</t>
  </si>
  <si>
    <t>Ganganath</t>
  </si>
  <si>
    <t>Heritage I</t>
  </si>
  <si>
    <t>Heritage II</t>
  </si>
  <si>
    <t>Almeda</t>
  </si>
  <si>
    <t>Patil</t>
  </si>
  <si>
    <t>Purohit</t>
  </si>
  <si>
    <t>BHARDWAJ</t>
  </si>
  <si>
    <t>Mahalaxmi Dev</t>
  </si>
  <si>
    <t>Kedar</t>
  </si>
  <si>
    <t>Dessai (Santoba)</t>
  </si>
  <si>
    <t>Rani Construction</t>
  </si>
  <si>
    <t>Maharudra</t>
  </si>
  <si>
    <t>Ravinagar</t>
  </si>
  <si>
    <t>Friends Colony</t>
  </si>
  <si>
    <t>Khadpabandh Garden II</t>
  </si>
  <si>
    <t>Khadpabandh Garden I</t>
  </si>
  <si>
    <t>Sports Complex</t>
  </si>
  <si>
    <t>Bhagwati I</t>
  </si>
  <si>
    <t>Bhagwati II</t>
  </si>
  <si>
    <t>Sewerage HTC</t>
  </si>
  <si>
    <t>Sports Complex HTC</t>
  </si>
  <si>
    <t>Sungrace HTC</t>
  </si>
  <si>
    <t>PONDA 1 FEEDER</t>
  </si>
  <si>
    <t>Golden Nest</t>
  </si>
  <si>
    <t>Surekha Parkar</t>
  </si>
  <si>
    <t xml:space="preserve">Nagzar </t>
  </si>
  <si>
    <t>Sarthak Nest</t>
  </si>
  <si>
    <t>Progress</t>
  </si>
  <si>
    <t>Commertial Tax</t>
  </si>
  <si>
    <t>Panditwada</t>
  </si>
  <si>
    <t>Verekar</t>
  </si>
  <si>
    <t>Bandodkar</t>
  </si>
  <si>
    <t>Kaziwada</t>
  </si>
  <si>
    <t>Twin Tower</t>
  </si>
  <si>
    <t>Canara Bank</t>
  </si>
  <si>
    <t>Kurtarkar Arcade (KCA)</t>
  </si>
  <si>
    <t>Bhosle</t>
  </si>
  <si>
    <t>Super Market</t>
  </si>
  <si>
    <t>D.K Arcade</t>
  </si>
  <si>
    <t>Coelo</t>
  </si>
  <si>
    <t>AVR</t>
  </si>
  <si>
    <t>BSNL/ Sub Divisional Engr (Internal)</t>
  </si>
  <si>
    <t>Kanir Construction</t>
  </si>
  <si>
    <t>Sumit (Sumit Shivam)</t>
  </si>
  <si>
    <t>Kalpana</t>
  </si>
  <si>
    <t>Police Station</t>
  </si>
  <si>
    <t>Goa State bank</t>
  </si>
  <si>
    <t>Rajdeep Galaria I</t>
  </si>
  <si>
    <t>Rajdeep Galaria II</t>
  </si>
  <si>
    <t>Aiesha</t>
  </si>
  <si>
    <t>Mamladtdar</t>
  </si>
  <si>
    <t>Tarangan I</t>
  </si>
  <si>
    <t>Tarangan II</t>
  </si>
  <si>
    <t>Rajmudra I</t>
  </si>
  <si>
    <t>Rajmudra II</t>
  </si>
  <si>
    <t xml:space="preserve">Rajdurga </t>
  </si>
  <si>
    <t>Sumit Plumeria</t>
  </si>
  <si>
    <t>Daag</t>
  </si>
  <si>
    <t>Kanir Construction HTC</t>
  </si>
  <si>
    <t>Josheph HTC</t>
  </si>
  <si>
    <t>Ratnadeep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</si>
</sst>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Font="1" applyBorder="1" applyAlignment="1">
      <alignment horizontal="center" vertical="top"/>
    </xf>
    <xf numFmtId="0" fontId="0" fillId="0" borderId="5" xfId="0" applyFont="1" applyBorder="1" applyAlignment="1">
      <alignment horizontal="center" vertical="top"/>
    </xf>
    <xf numFmtId="0" fontId="0" fillId="0" borderId="6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NumberFormat="1" applyFill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tabSelected="1" workbookViewId="0">
      <pane ySplit="1" topLeftCell="A105" activePane="bottomLeft" state="frozen"/>
      <selection pane="bottomLeft" activeCell="C117" sqref="C117"/>
    </sheetView>
  </sheetViews>
  <sheetFormatPr defaultRowHeight="15" x14ac:dyDescent="0.25"/>
  <cols>
    <col min="1" max="1" width="9.5703125" bestFit="1" customWidth="1"/>
    <col min="2" max="2" width="33" bestFit="1" customWidth="1"/>
    <col min="3" max="3" width="18" customWidth="1"/>
    <col min="4" max="4" width="13.28515625" customWidth="1"/>
    <col min="5" max="5" width="23.140625" customWidth="1"/>
    <col min="6" max="6" width="16.28515625" customWidth="1"/>
    <col min="7" max="7" width="12.42578125" customWidth="1"/>
    <col min="8" max="8" width="29" bestFit="1" customWidth="1"/>
    <col min="9" max="9" width="16" bestFit="1" customWidth="1"/>
    <col min="10" max="10" width="9.85546875" bestFit="1" customWidth="1"/>
    <col min="11" max="11" width="12.5703125" bestFit="1" customWidth="1"/>
    <col min="12" max="12" width="4" bestFit="1" customWidth="1"/>
    <col min="13" max="13" width="12" bestFit="1" customWidth="1"/>
  </cols>
  <sheetData>
    <row r="1" spans="1:7" x14ac:dyDescent="0.25">
      <c r="A1" s="1" t="s">
        <v>23</v>
      </c>
      <c r="B1" s="1" t="s">
        <v>29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2" t="s">
        <v>59</v>
      </c>
      <c r="B2" s="13"/>
      <c r="C2" s="13"/>
      <c r="D2" s="13"/>
      <c r="E2" s="13"/>
      <c r="F2" s="13"/>
      <c r="G2" s="14"/>
    </row>
    <row r="3" spans="1:7" x14ac:dyDescent="0.25">
      <c r="A3" s="2">
        <v>1</v>
      </c>
      <c r="B3" s="2" t="s">
        <v>0</v>
      </c>
      <c r="C3" s="3">
        <v>200</v>
      </c>
      <c r="D3" s="4">
        <v>0.8</v>
      </c>
      <c r="E3" s="2">
        <v>0.9</v>
      </c>
      <c r="F3" s="2">
        <f>( C3 * (D3 / 100) * E3)*100</f>
        <v>144.00000000000003</v>
      </c>
      <c r="G3" s="5">
        <f xml:space="preserve"> SQRT((C3 * (D3 ))^2 - F3^2)</f>
        <v>69.742383096650727</v>
      </c>
    </row>
    <row r="4" spans="1:7" x14ac:dyDescent="0.25">
      <c r="A4" s="2">
        <v>2</v>
      </c>
      <c r="B4" s="2" t="s">
        <v>1</v>
      </c>
      <c r="C4" s="3">
        <v>200</v>
      </c>
      <c r="D4" s="4">
        <v>0.8</v>
      </c>
      <c r="E4" s="2">
        <v>0.9</v>
      </c>
      <c r="F4" s="2">
        <f t="shared" ref="F4:F67" si="0">( C4 * (D4 / 100) * E4)*100</f>
        <v>144.00000000000003</v>
      </c>
      <c r="G4" s="5">
        <f t="shared" ref="G4:G67" si="1" xml:space="preserve"> SQRT((C4 * (D4 ))^2 - F4^2)</f>
        <v>69.742383096650727</v>
      </c>
    </row>
    <row r="5" spans="1:7" x14ac:dyDescent="0.25">
      <c r="A5" s="2">
        <v>3</v>
      </c>
      <c r="B5" s="2" t="s">
        <v>2</v>
      </c>
      <c r="C5" s="3">
        <v>100</v>
      </c>
      <c r="D5" s="4">
        <v>0.9</v>
      </c>
      <c r="E5" s="2">
        <v>0.9</v>
      </c>
      <c r="F5" s="2">
        <f t="shared" si="0"/>
        <v>81.000000000000014</v>
      </c>
      <c r="G5" s="5">
        <f t="shared" si="1"/>
        <v>39.230090491866029</v>
      </c>
    </row>
    <row r="6" spans="1:7" x14ac:dyDescent="0.25">
      <c r="A6" s="2">
        <v>4</v>
      </c>
      <c r="B6" s="2" t="s">
        <v>3</v>
      </c>
      <c r="C6" s="3">
        <v>200</v>
      </c>
      <c r="D6" s="4">
        <v>0.6</v>
      </c>
      <c r="E6" s="2">
        <v>0.9</v>
      </c>
      <c r="F6" s="2">
        <f t="shared" si="0"/>
        <v>108</v>
      </c>
      <c r="G6" s="5">
        <f t="shared" si="1"/>
        <v>52.306787322488084</v>
      </c>
    </row>
    <row r="7" spans="1:7" x14ac:dyDescent="0.25">
      <c r="A7" s="2">
        <v>5</v>
      </c>
      <c r="B7" s="2" t="s">
        <v>4</v>
      </c>
      <c r="C7" s="3">
        <v>100</v>
      </c>
      <c r="D7" s="4">
        <v>0.7</v>
      </c>
      <c r="E7" s="2">
        <v>0.9</v>
      </c>
      <c r="F7" s="2">
        <f t="shared" si="0"/>
        <v>63</v>
      </c>
      <c r="G7" s="5">
        <f t="shared" si="1"/>
        <v>30.512292604784715</v>
      </c>
    </row>
    <row r="8" spans="1:7" x14ac:dyDescent="0.25">
      <c r="A8" s="2">
        <v>6</v>
      </c>
      <c r="B8" s="2" t="s">
        <v>5</v>
      </c>
      <c r="C8" s="3">
        <v>100</v>
      </c>
      <c r="D8" s="4">
        <v>0.8</v>
      </c>
      <c r="E8" s="2">
        <v>0.9</v>
      </c>
      <c r="F8" s="2">
        <f t="shared" si="0"/>
        <v>72.000000000000014</v>
      </c>
      <c r="G8" s="5">
        <f t="shared" si="1"/>
        <v>34.871191548325363</v>
      </c>
    </row>
    <row r="9" spans="1:7" x14ac:dyDescent="0.25">
      <c r="A9" s="2">
        <v>7</v>
      </c>
      <c r="B9" s="2" t="s">
        <v>6</v>
      </c>
      <c r="C9" s="3">
        <v>200</v>
      </c>
      <c r="D9" s="4">
        <v>0.3</v>
      </c>
      <c r="E9" s="2">
        <v>0.9</v>
      </c>
      <c r="F9" s="2">
        <f t="shared" si="0"/>
        <v>54</v>
      </c>
      <c r="G9" s="5">
        <f t="shared" si="1"/>
        <v>26.153393661244042</v>
      </c>
    </row>
    <row r="10" spans="1:7" x14ac:dyDescent="0.25">
      <c r="A10" s="2">
        <v>8</v>
      </c>
      <c r="B10" s="2" t="s">
        <v>7</v>
      </c>
      <c r="C10" s="3">
        <v>100</v>
      </c>
      <c r="D10" s="4">
        <v>0.8</v>
      </c>
      <c r="E10" s="2">
        <v>0.9</v>
      </c>
      <c r="F10" s="2">
        <f t="shared" si="0"/>
        <v>72.000000000000014</v>
      </c>
      <c r="G10" s="5">
        <f t="shared" si="1"/>
        <v>34.871191548325363</v>
      </c>
    </row>
    <row r="11" spans="1:7" x14ac:dyDescent="0.25">
      <c r="A11" s="2">
        <v>9</v>
      </c>
      <c r="B11" s="2" t="s">
        <v>8</v>
      </c>
      <c r="C11" s="3">
        <v>100</v>
      </c>
      <c r="D11" s="4">
        <v>0.8</v>
      </c>
      <c r="E11" s="2">
        <v>0.9</v>
      </c>
      <c r="F11" s="2">
        <f t="shared" si="0"/>
        <v>72.000000000000014</v>
      </c>
      <c r="G11" s="5">
        <f t="shared" si="1"/>
        <v>34.871191548325363</v>
      </c>
    </row>
    <row r="12" spans="1:7" x14ac:dyDescent="0.25">
      <c r="A12" s="2">
        <v>10</v>
      </c>
      <c r="B12" s="2" t="s">
        <v>9</v>
      </c>
      <c r="C12" s="3">
        <v>400</v>
      </c>
      <c r="D12" s="4">
        <v>0.8</v>
      </c>
      <c r="E12" s="2">
        <v>0.9</v>
      </c>
      <c r="F12" s="2">
        <f t="shared" si="0"/>
        <v>288.00000000000006</v>
      </c>
      <c r="G12" s="5">
        <f t="shared" si="1"/>
        <v>139.48476619330145</v>
      </c>
    </row>
    <row r="13" spans="1:7" x14ac:dyDescent="0.25">
      <c r="A13" s="2">
        <v>11</v>
      </c>
      <c r="B13" s="2" t="s">
        <v>10</v>
      </c>
      <c r="C13" s="3">
        <v>160</v>
      </c>
      <c r="D13" s="4">
        <v>0.8</v>
      </c>
      <c r="E13" s="2">
        <v>0.9</v>
      </c>
      <c r="F13" s="2">
        <f t="shared" si="0"/>
        <v>115.20000000000002</v>
      </c>
      <c r="G13" s="5">
        <f t="shared" si="1"/>
        <v>55.793906477320583</v>
      </c>
    </row>
    <row r="14" spans="1:7" x14ac:dyDescent="0.25">
      <c r="A14" s="2">
        <v>12</v>
      </c>
      <c r="B14" s="2" t="s">
        <v>11</v>
      </c>
      <c r="C14" s="3">
        <v>400</v>
      </c>
      <c r="D14" s="4">
        <v>0.7</v>
      </c>
      <c r="E14" s="2">
        <v>0.9</v>
      </c>
      <c r="F14" s="2">
        <f t="shared" si="0"/>
        <v>252</v>
      </c>
      <c r="G14" s="5">
        <f t="shared" si="1"/>
        <v>122.04917041913886</v>
      </c>
    </row>
    <row r="15" spans="1:7" x14ac:dyDescent="0.25">
      <c r="A15" s="2">
        <v>13</v>
      </c>
      <c r="B15" s="2" t="s">
        <v>12</v>
      </c>
      <c r="C15" s="3">
        <v>160</v>
      </c>
      <c r="D15" s="4">
        <v>0.8</v>
      </c>
      <c r="E15" s="2">
        <v>0.9</v>
      </c>
      <c r="F15" s="2">
        <f t="shared" si="0"/>
        <v>115.20000000000002</v>
      </c>
      <c r="G15" s="5">
        <f t="shared" si="1"/>
        <v>55.793906477320583</v>
      </c>
    </row>
    <row r="16" spans="1:7" x14ac:dyDescent="0.25">
      <c r="A16" s="2">
        <v>14</v>
      </c>
      <c r="B16" s="2" t="s">
        <v>13</v>
      </c>
      <c r="C16" s="3">
        <v>100</v>
      </c>
      <c r="D16" s="4">
        <v>0.5</v>
      </c>
      <c r="E16" s="2">
        <v>0.9</v>
      </c>
      <c r="F16" s="2">
        <f t="shared" si="0"/>
        <v>45</v>
      </c>
      <c r="G16" s="5">
        <f t="shared" si="1"/>
        <v>21.794494717703369</v>
      </c>
    </row>
    <row r="17" spans="1:7" x14ac:dyDescent="0.25">
      <c r="A17" s="2">
        <v>15</v>
      </c>
      <c r="B17" s="2" t="s">
        <v>14</v>
      </c>
      <c r="C17" s="3">
        <v>1000</v>
      </c>
      <c r="D17" s="4">
        <v>0.8</v>
      </c>
      <c r="E17" s="2">
        <v>0.9</v>
      </c>
      <c r="F17" s="2">
        <f t="shared" si="0"/>
        <v>720</v>
      </c>
      <c r="G17" s="5">
        <f t="shared" si="1"/>
        <v>348.7119154832539</v>
      </c>
    </row>
    <row r="18" spans="1:7" x14ac:dyDescent="0.25">
      <c r="A18" s="2">
        <v>16</v>
      </c>
      <c r="B18" s="2" t="s">
        <v>15</v>
      </c>
      <c r="C18" s="3">
        <v>1250</v>
      </c>
      <c r="D18" s="4">
        <v>0.8</v>
      </c>
      <c r="E18" s="2">
        <v>0.9</v>
      </c>
      <c r="F18" s="2">
        <f t="shared" si="0"/>
        <v>900</v>
      </c>
      <c r="G18" s="5">
        <f t="shared" si="1"/>
        <v>435.88989435406734</v>
      </c>
    </row>
    <row r="19" spans="1:7" x14ac:dyDescent="0.25">
      <c r="A19" s="2">
        <v>17</v>
      </c>
      <c r="B19" s="2" t="s">
        <v>16</v>
      </c>
      <c r="C19" s="3">
        <v>500</v>
      </c>
      <c r="D19" s="4">
        <v>0.8</v>
      </c>
      <c r="E19" s="2">
        <v>0.9</v>
      </c>
      <c r="F19" s="2">
        <f t="shared" si="0"/>
        <v>360</v>
      </c>
      <c r="G19" s="5">
        <f t="shared" si="1"/>
        <v>174.35595774162695</v>
      </c>
    </row>
    <row r="20" spans="1:7" x14ac:dyDescent="0.25">
      <c r="A20" s="2">
        <v>18</v>
      </c>
      <c r="B20" s="2" t="s">
        <v>17</v>
      </c>
      <c r="C20" s="6">
        <v>160</v>
      </c>
      <c r="D20" s="4">
        <v>0.7</v>
      </c>
      <c r="E20" s="2">
        <v>0.9</v>
      </c>
      <c r="F20" s="2">
        <f t="shared" si="0"/>
        <v>100.8</v>
      </c>
      <c r="G20" s="5">
        <f t="shared" si="1"/>
        <v>48.81966816765555</v>
      </c>
    </row>
    <row r="21" spans="1:7" x14ac:dyDescent="0.25">
      <c r="A21" s="2">
        <v>19</v>
      </c>
      <c r="B21" s="2" t="s">
        <v>18</v>
      </c>
      <c r="C21" s="6">
        <v>100</v>
      </c>
      <c r="D21" s="4">
        <v>0.6</v>
      </c>
      <c r="E21" s="2">
        <v>0.9</v>
      </c>
      <c r="F21" s="2">
        <f t="shared" si="0"/>
        <v>54</v>
      </c>
      <c r="G21" s="5">
        <f t="shared" si="1"/>
        <v>26.153393661244042</v>
      </c>
    </row>
    <row r="22" spans="1:7" x14ac:dyDescent="0.25">
      <c r="A22" s="2">
        <v>20</v>
      </c>
      <c r="B22" s="2" t="s">
        <v>19</v>
      </c>
      <c r="C22" s="6">
        <v>160</v>
      </c>
      <c r="D22" s="4">
        <v>0.6</v>
      </c>
      <c r="E22" s="2">
        <v>0.9</v>
      </c>
      <c r="F22" s="2">
        <f t="shared" si="0"/>
        <v>86.4</v>
      </c>
      <c r="G22" s="5">
        <f t="shared" si="1"/>
        <v>41.845429857990453</v>
      </c>
    </row>
    <row r="23" spans="1:7" x14ac:dyDescent="0.25">
      <c r="A23" s="2">
        <v>21</v>
      </c>
      <c r="B23" s="2" t="s">
        <v>20</v>
      </c>
      <c r="C23" s="6">
        <v>200</v>
      </c>
      <c r="D23" s="4">
        <v>0.8</v>
      </c>
      <c r="E23" s="2">
        <v>0.9</v>
      </c>
      <c r="F23" s="2">
        <f t="shared" si="0"/>
        <v>144.00000000000003</v>
      </c>
      <c r="G23" s="5">
        <f t="shared" si="1"/>
        <v>69.742383096650727</v>
      </c>
    </row>
    <row r="24" spans="1:7" x14ac:dyDescent="0.25">
      <c r="A24" s="2">
        <v>22</v>
      </c>
      <c r="B24" s="2" t="s">
        <v>21</v>
      </c>
      <c r="C24" s="6">
        <v>160</v>
      </c>
      <c r="D24" s="4">
        <v>0.7</v>
      </c>
      <c r="E24" s="2">
        <v>0.9</v>
      </c>
      <c r="F24" s="2">
        <f t="shared" si="0"/>
        <v>100.8</v>
      </c>
      <c r="G24" s="5">
        <f t="shared" si="1"/>
        <v>48.81966816765555</v>
      </c>
    </row>
    <row r="25" spans="1:7" x14ac:dyDescent="0.25">
      <c r="A25" s="2">
        <v>23</v>
      </c>
      <c r="B25" s="2" t="s">
        <v>22</v>
      </c>
      <c r="C25" s="7">
        <v>200</v>
      </c>
      <c r="D25" s="4">
        <v>0.7</v>
      </c>
      <c r="E25" s="2">
        <v>0.9</v>
      </c>
      <c r="F25" s="2">
        <f t="shared" si="0"/>
        <v>126</v>
      </c>
      <c r="G25" s="5">
        <f t="shared" si="1"/>
        <v>61.02458520956943</v>
      </c>
    </row>
    <row r="26" spans="1:7" x14ac:dyDescent="0.25">
      <c r="A26" s="10" t="s">
        <v>60</v>
      </c>
      <c r="B26" s="10"/>
      <c r="C26" s="10"/>
      <c r="D26" s="10"/>
      <c r="E26" s="10"/>
      <c r="F26" s="10"/>
      <c r="G26" s="11"/>
    </row>
    <row r="27" spans="1:7" x14ac:dyDescent="0.25">
      <c r="A27" s="2">
        <v>24</v>
      </c>
      <c r="B27" s="2" t="s">
        <v>30</v>
      </c>
      <c r="C27" s="2">
        <v>200</v>
      </c>
      <c r="D27" s="8">
        <v>0.7</v>
      </c>
      <c r="E27" s="2">
        <v>0.9</v>
      </c>
      <c r="F27" s="2">
        <f t="shared" si="0"/>
        <v>126</v>
      </c>
      <c r="G27" s="5">
        <f t="shared" si="1"/>
        <v>61.02458520956943</v>
      </c>
    </row>
    <row r="28" spans="1:7" x14ac:dyDescent="0.25">
      <c r="A28" s="9">
        <v>25</v>
      </c>
      <c r="B28" s="2" t="s">
        <v>31</v>
      </c>
      <c r="C28" s="2">
        <v>200</v>
      </c>
      <c r="D28" s="8">
        <v>0.6</v>
      </c>
      <c r="E28" s="2">
        <v>0.9</v>
      </c>
      <c r="F28" s="2">
        <f t="shared" si="0"/>
        <v>108</v>
      </c>
      <c r="G28" s="5">
        <f t="shared" si="1"/>
        <v>52.306787322488084</v>
      </c>
    </row>
    <row r="29" spans="1:7" x14ac:dyDescent="0.25">
      <c r="A29" s="2">
        <v>26</v>
      </c>
      <c r="B29" s="2" t="s">
        <v>32</v>
      </c>
      <c r="C29" s="2">
        <v>400</v>
      </c>
      <c r="D29" s="8">
        <v>0.6</v>
      </c>
      <c r="E29" s="2">
        <v>0.9</v>
      </c>
      <c r="F29" s="2">
        <f t="shared" si="0"/>
        <v>216</v>
      </c>
      <c r="G29" s="5">
        <f t="shared" si="1"/>
        <v>104.61357464497617</v>
      </c>
    </row>
    <row r="30" spans="1:7" x14ac:dyDescent="0.25">
      <c r="A30" s="2">
        <v>27</v>
      </c>
      <c r="B30" s="2" t="s">
        <v>33</v>
      </c>
      <c r="C30" s="2">
        <v>200</v>
      </c>
      <c r="D30" s="8">
        <v>0.7</v>
      </c>
      <c r="E30" s="2">
        <v>0.9</v>
      </c>
      <c r="F30" s="2">
        <f t="shared" si="0"/>
        <v>126</v>
      </c>
      <c r="G30" s="5">
        <f t="shared" si="1"/>
        <v>61.02458520956943</v>
      </c>
    </row>
    <row r="31" spans="1:7" x14ac:dyDescent="0.25">
      <c r="A31" s="2">
        <v>28</v>
      </c>
      <c r="B31" s="2" t="s">
        <v>34</v>
      </c>
      <c r="C31" s="2">
        <v>200</v>
      </c>
      <c r="D31" s="8">
        <v>0.6</v>
      </c>
      <c r="E31" s="2">
        <v>0.9</v>
      </c>
      <c r="F31" s="2">
        <f t="shared" si="0"/>
        <v>108</v>
      </c>
      <c r="G31" s="5">
        <f t="shared" si="1"/>
        <v>52.306787322488084</v>
      </c>
    </row>
    <row r="32" spans="1:7" x14ac:dyDescent="0.25">
      <c r="A32" s="2">
        <v>29</v>
      </c>
      <c r="B32" s="2" t="s">
        <v>35</v>
      </c>
      <c r="C32" s="2">
        <v>100</v>
      </c>
      <c r="D32" s="8">
        <v>0.6</v>
      </c>
      <c r="E32" s="2">
        <v>0.9</v>
      </c>
      <c r="F32" s="2">
        <f t="shared" si="0"/>
        <v>54</v>
      </c>
      <c r="G32" s="5">
        <f t="shared" si="1"/>
        <v>26.153393661244042</v>
      </c>
    </row>
    <row r="33" spans="1:7" x14ac:dyDescent="0.25">
      <c r="A33" s="2">
        <v>30</v>
      </c>
      <c r="B33" s="2" t="s">
        <v>36</v>
      </c>
      <c r="C33" s="2">
        <v>100</v>
      </c>
      <c r="D33" s="8">
        <v>0.7</v>
      </c>
      <c r="E33" s="2">
        <v>0.9</v>
      </c>
      <c r="F33" s="2">
        <f t="shared" si="0"/>
        <v>63</v>
      </c>
      <c r="G33" s="5">
        <f t="shared" si="1"/>
        <v>30.512292604784715</v>
      </c>
    </row>
    <row r="34" spans="1:7" x14ac:dyDescent="0.25">
      <c r="A34" s="2">
        <v>31</v>
      </c>
      <c r="B34" s="2" t="s">
        <v>37</v>
      </c>
      <c r="C34" s="2">
        <v>100</v>
      </c>
      <c r="D34" s="8">
        <v>0.6</v>
      </c>
      <c r="E34" s="2">
        <v>0.9</v>
      </c>
      <c r="F34" s="2">
        <f t="shared" si="0"/>
        <v>54</v>
      </c>
      <c r="G34" s="5">
        <f t="shared" si="1"/>
        <v>26.153393661244042</v>
      </c>
    </row>
    <row r="35" spans="1:7" x14ac:dyDescent="0.25">
      <c r="A35" s="2">
        <v>32</v>
      </c>
      <c r="B35" s="2" t="s">
        <v>38</v>
      </c>
      <c r="C35" s="2">
        <v>200</v>
      </c>
      <c r="D35" s="8">
        <v>0.5</v>
      </c>
      <c r="E35" s="2">
        <v>0.9</v>
      </c>
      <c r="F35" s="2">
        <f t="shared" si="0"/>
        <v>90</v>
      </c>
      <c r="G35" s="5">
        <f t="shared" si="1"/>
        <v>43.588989435406738</v>
      </c>
    </row>
    <row r="36" spans="1:7" x14ac:dyDescent="0.25">
      <c r="A36" s="2">
        <v>33</v>
      </c>
      <c r="B36" s="2" t="s">
        <v>39</v>
      </c>
      <c r="C36" s="2">
        <v>200</v>
      </c>
      <c r="D36" s="8">
        <v>0.8</v>
      </c>
      <c r="E36" s="2">
        <v>0.9</v>
      </c>
      <c r="F36" s="2">
        <f t="shared" si="0"/>
        <v>144.00000000000003</v>
      </c>
      <c r="G36" s="5">
        <f t="shared" si="1"/>
        <v>69.742383096650727</v>
      </c>
    </row>
    <row r="37" spans="1:7" x14ac:dyDescent="0.25">
      <c r="A37" s="2">
        <v>34</v>
      </c>
      <c r="B37" s="2" t="s">
        <v>40</v>
      </c>
      <c r="C37" s="2">
        <v>200</v>
      </c>
      <c r="D37" s="8">
        <v>0.8</v>
      </c>
      <c r="E37" s="2">
        <v>0.9</v>
      </c>
      <c r="F37" s="2">
        <f t="shared" si="0"/>
        <v>144.00000000000003</v>
      </c>
      <c r="G37" s="5">
        <f t="shared" si="1"/>
        <v>69.742383096650727</v>
      </c>
    </row>
    <row r="38" spans="1:7" x14ac:dyDescent="0.25">
      <c r="A38" s="2">
        <v>35</v>
      </c>
      <c r="B38" s="2" t="s">
        <v>41</v>
      </c>
      <c r="C38" s="2">
        <v>100</v>
      </c>
      <c r="D38" s="8">
        <v>0.8</v>
      </c>
      <c r="E38" s="2">
        <v>0.9</v>
      </c>
      <c r="F38" s="2">
        <f t="shared" si="0"/>
        <v>72.000000000000014</v>
      </c>
      <c r="G38" s="5">
        <f t="shared" si="1"/>
        <v>34.871191548325363</v>
      </c>
    </row>
    <row r="39" spans="1:7" x14ac:dyDescent="0.25">
      <c r="A39" s="2">
        <v>36</v>
      </c>
      <c r="B39" s="2" t="s">
        <v>42</v>
      </c>
      <c r="C39" s="2">
        <v>160</v>
      </c>
      <c r="D39" s="8">
        <v>0.8</v>
      </c>
      <c r="E39" s="2">
        <v>0.9</v>
      </c>
      <c r="F39" s="2">
        <f t="shared" si="0"/>
        <v>115.20000000000002</v>
      </c>
      <c r="G39" s="5">
        <f t="shared" si="1"/>
        <v>55.793906477320583</v>
      </c>
    </row>
    <row r="40" spans="1:7" x14ac:dyDescent="0.25">
      <c r="A40" s="2">
        <v>37</v>
      </c>
      <c r="B40" s="2" t="s">
        <v>43</v>
      </c>
      <c r="C40" s="2">
        <v>100</v>
      </c>
      <c r="D40" s="8">
        <v>0.7</v>
      </c>
      <c r="E40" s="2">
        <v>0.9</v>
      </c>
      <c r="F40" s="2">
        <f t="shared" si="0"/>
        <v>63</v>
      </c>
      <c r="G40" s="5">
        <f t="shared" si="1"/>
        <v>30.512292604784715</v>
      </c>
    </row>
    <row r="41" spans="1:7" x14ac:dyDescent="0.25">
      <c r="A41" s="2">
        <v>38</v>
      </c>
      <c r="B41" s="2" t="s">
        <v>44</v>
      </c>
      <c r="C41" s="2">
        <v>400</v>
      </c>
      <c r="D41" s="8">
        <v>0.5</v>
      </c>
      <c r="E41" s="2">
        <v>0.9</v>
      </c>
      <c r="F41" s="2">
        <f t="shared" si="0"/>
        <v>180</v>
      </c>
      <c r="G41" s="5">
        <f t="shared" si="1"/>
        <v>87.177978870813476</v>
      </c>
    </row>
    <row r="42" spans="1:7" x14ac:dyDescent="0.25">
      <c r="A42" s="2">
        <v>39</v>
      </c>
      <c r="B42" s="2" t="s">
        <v>45</v>
      </c>
      <c r="C42" s="2">
        <v>200</v>
      </c>
      <c r="D42" s="8">
        <v>0.6</v>
      </c>
      <c r="E42" s="2">
        <v>0.9</v>
      </c>
      <c r="F42" s="2">
        <f t="shared" si="0"/>
        <v>108</v>
      </c>
      <c r="G42" s="5">
        <f t="shared" si="1"/>
        <v>52.306787322488084</v>
      </c>
    </row>
    <row r="43" spans="1:7" x14ac:dyDescent="0.25">
      <c r="A43" s="2">
        <v>40</v>
      </c>
      <c r="B43" s="2" t="s">
        <v>46</v>
      </c>
      <c r="C43" s="2">
        <v>400</v>
      </c>
      <c r="D43" s="8">
        <v>0.5</v>
      </c>
      <c r="E43" s="2">
        <v>0.9</v>
      </c>
      <c r="F43" s="2">
        <f t="shared" si="0"/>
        <v>180</v>
      </c>
      <c r="G43" s="5">
        <f t="shared" si="1"/>
        <v>87.177978870813476</v>
      </c>
    </row>
    <row r="44" spans="1:7" x14ac:dyDescent="0.25">
      <c r="A44" s="2">
        <v>41</v>
      </c>
      <c r="B44" s="2" t="s">
        <v>47</v>
      </c>
      <c r="C44" s="2">
        <v>400</v>
      </c>
      <c r="D44" s="8">
        <v>0.6</v>
      </c>
      <c r="E44" s="2">
        <v>0.9</v>
      </c>
      <c r="F44" s="2">
        <f t="shared" si="0"/>
        <v>216</v>
      </c>
      <c r="G44" s="5">
        <f t="shared" si="1"/>
        <v>104.61357464497617</v>
      </c>
    </row>
    <row r="45" spans="1:7" x14ac:dyDescent="0.25">
      <c r="A45" s="2">
        <v>42</v>
      </c>
      <c r="B45" s="2" t="s">
        <v>48</v>
      </c>
      <c r="C45" s="2">
        <v>400</v>
      </c>
      <c r="D45" s="8">
        <v>0.6</v>
      </c>
      <c r="E45" s="2">
        <v>0.9</v>
      </c>
      <c r="F45" s="2">
        <f t="shared" si="0"/>
        <v>216</v>
      </c>
      <c r="G45" s="5">
        <f t="shared" si="1"/>
        <v>104.61357464497617</v>
      </c>
    </row>
    <row r="46" spans="1:7" x14ac:dyDescent="0.25">
      <c r="A46" s="2">
        <v>43</v>
      </c>
      <c r="B46" s="2" t="s">
        <v>49</v>
      </c>
      <c r="C46" s="2">
        <v>100</v>
      </c>
      <c r="D46" s="8">
        <v>0.6</v>
      </c>
      <c r="E46" s="2">
        <v>0.9</v>
      </c>
      <c r="F46" s="2">
        <f t="shared" si="0"/>
        <v>54</v>
      </c>
      <c r="G46" s="5">
        <f t="shared" si="1"/>
        <v>26.153393661244042</v>
      </c>
    </row>
    <row r="47" spans="1:7" x14ac:dyDescent="0.25">
      <c r="A47" s="2">
        <v>44</v>
      </c>
      <c r="B47" s="2" t="s">
        <v>50</v>
      </c>
      <c r="C47" s="2">
        <v>63</v>
      </c>
      <c r="D47" s="8">
        <v>0.6</v>
      </c>
      <c r="E47" s="2">
        <v>0.9</v>
      </c>
      <c r="F47" s="2">
        <f t="shared" si="0"/>
        <v>34.020000000000003</v>
      </c>
      <c r="G47" s="5">
        <f t="shared" si="1"/>
        <v>16.47663800658373</v>
      </c>
    </row>
    <row r="48" spans="1:7" x14ac:dyDescent="0.25">
      <c r="A48" s="2">
        <v>45</v>
      </c>
      <c r="B48" s="2" t="s">
        <v>51</v>
      </c>
      <c r="C48" s="2">
        <v>63</v>
      </c>
      <c r="D48" s="8">
        <v>0.6</v>
      </c>
      <c r="E48" s="2">
        <v>0.9</v>
      </c>
      <c r="F48" s="2">
        <f t="shared" si="0"/>
        <v>34.020000000000003</v>
      </c>
      <c r="G48" s="5">
        <f t="shared" si="1"/>
        <v>16.47663800658373</v>
      </c>
    </row>
    <row r="49" spans="1:7" x14ac:dyDescent="0.25">
      <c r="A49" s="2">
        <v>46</v>
      </c>
      <c r="B49" s="2" t="s">
        <v>52</v>
      </c>
      <c r="C49" s="2">
        <v>300</v>
      </c>
      <c r="D49" s="8">
        <v>0.4</v>
      </c>
      <c r="E49" s="2">
        <v>0.9</v>
      </c>
      <c r="F49" s="2">
        <f t="shared" si="0"/>
        <v>108</v>
      </c>
      <c r="G49" s="5">
        <f t="shared" si="1"/>
        <v>52.306787322488084</v>
      </c>
    </row>
    <row r="50" spans="1:7" x14ac:dyDescent="0.25">
      <c r="A50" s="2">
        <v>47</v>
      </c>
      <c r="B50" s="2" t="s">
        <v>53</v>
      </c>
      <c r="C50" s="2">
        <v>300</v>
      </c>
      <c r="D50" s="8">
        <v>0.8</v>
      </c>
      <c r="E50" s="2">
        <v>0.9</v>
      </c>
      <c r="F50" s="2">
        <f t="shared" si="0"/>
        <v>216</v>
      </c>
      <c r="G50" s="5">
        <f t="shared" si="1"/>
        <v>104.61357464497617</v>
      </c>
    </row>
    <row r="51" spans="1:7" x14ac:dyDescent="0.25">
      <c r="A51" s="2">
        <v>48</v>
      </c>
      <c r="B51" s="2" t="s">
        <v>54</v>
      </c>
      <c r="C51" s="2">
        <v>100</v>
      </c>
      <c r="D51" s="8">
        <v>0.6</v>
      </c>
      <c r="E51" s="2">
        <v>0.9</v>
      </c>
      <c r="F51" s="2">
        <f t="shared" si="0"/>
        <v>54</v>
      </c>
      <c r="G51" s="5">
        <f t="shared" si="1"/>
        <v>26.153393661244042</v>
      </c>
    </row>
    <row r="52" spans="1:7" x14ac:dyDescent="0.25">
      <c r="A52" s="2">
        <v>49</v>
      </c>
      <c r="B52" s="2" t="s">
        <v>55</v>
      </c>
      <c r="C52" s="2">
        <v>100</v>
      </c>
      <c r="D52" s="8">
        <v>0.7</v>
      </c>
      <c r="E52" s="2">
        <v>0.9</v>
      </c>
      <c r="F52" s="2">
        <f t="shared" si="0"/>
        <v>63</v>
      </c>
      <c r="G52" s="5">
        <f t="shared" si="1"/>
        <v>30.512292604784715</v>
      </c>
    </row>
    <row r="53" spans="1:7" x14ac:dyDescent="0.25">
      <c r="A53" s="2">
        <v>50</v>
      </c>
      <c r="B53" s="2" t="s">
        <v>56</v>
      </c>
      <c r="C53" s="2">
        <v>200</v>
      </c>
      <c r="D53" s="8">
        <v>0.8</v>
      </c>
      <c r="E53" s="2">
        <v>0.9</v>
      </c>
      <c r="F53" s="2">
        <f t="shared" si="0"/>
        <v>144.00000000000003</v>
      </c>
      <c r="G53" s="5">
        <f t="shared" si="1"/>
        <v>69.742383096650727</v>
      </c>
    </row>
    <row r="54" spans="1:7" x14ac:dyDescent="0.25">
      <c r="A54" s="2">
        <v>51</v>
      </c>
      <c r="B54" s="2" t="s">
        <v>57</v>
      </c>
      <c r="C54" s="2">
        <v>200</v>
      </c>
      <c r="D54" s="8">
        <v>0.8</v>
      </c>
      <c r="E54" s="2">
        <v>0.9</v>
      </c>
      <c r="F54" s="2">
        <f t="shared" si="0"/>
        <v>144.00000000000003</v>
      </c>
      <c r="G54" s="5">
        <f t="shared" si="1"/>
        <v>69.742383096650727</v>
      </c>
    </row>
    <row r="55" spans="1:7" x14ac:dyDescent="0.25">
      <c r="A55" s="2">
        <v>52</v>
      </c>
      <c r="B55" s="2" t="s">
        <v>58</v>
      </c>
      <c r="C55" s="2">
        <v>200</v>
      </c>
      <c r="D55" s="8">
        <v>0.6</v>
      </c>
      <c r="E55" s="2">
        <v>0.9</v>
      </c>
      <c r="F55" s="2">
        <f t="shared" si="0"/>
        <v>108</v>
      </c>
      <c r="G55" s="5">
        <f t="shared" si="1"/>
        <v>52.306787322488084</v>
      </c>
    </row>
    <row r="56" spans="1:7" x14ac:dyDescent="0.25">
      <c r="A56" s="10" t="s">
        <v>61</v>
      </c>
      <c r="B56" s="10"/>
      <c r="C56" s="10"/>
      <c r="D56" s="10"/>
      <c r="E56" s="10"/>
      <c r="F56" s="10"/>
      <c r="G56" s="10"/>
    </row>
    <row r="57" spans="1:7" x14ac:dyDescent="0.25">
      <c r="A57" s="17">
        <v>53</v>
      </c>
      <c r="B57" s="2" t="s">
        <v>62</v>
      </c>
      <c r="C57" s="2">
        <v>200</v>
      </c>
      <c r="D57" s="8">
        <v>0.6</v>
      </c>
      <c r="E57" s="18">
        <v>0.9</v>
      </c>
      <c r="F57" s="2">
        <f t="shared" si="0"/>
        <v>108</v>
      </c>
      <c r="G57" s="5">
        <f t="shared" si="1"/>
        <v>52.306787322488084</v>
      </c>
    </row>
    <row r="58" spans="1:7" x14ac:dyDescent="0.25">
      <c r="A58" s="17">
        <v>54</v>
      </c>
      <c r="B58" s="2" t="s">
        <v>63</v>
      </c>
      <c r="C58" s="2">
        <v>200</v>
      </c>
      <c r="D58" s="8">
        <v>0.8</v>
      </c>
      <c r="E58" s="18">
        <v>0.9</v>
      </c>
      <c r="F58" s="2">
        <f t="shared" si="0"/>
        <v>144.00000000000003</v>
      </c>
      <c r="G58" s="5">
        <f t="shared" si="1"/>
        <v>69.742383096650727</v>
      </c>
    </row>
    <row r="59" spans="1:7" x14ac:dyDescent="0.25">
      <c r="A59" s="17">
        <v>55</v>
      </c>
      <c r="B59" s="2" t="s">
        <v>64</v>
      </c>
      <c r="C59" s="2">
        <v>100</v>
      </c>
      <c r="D59" s="8">
        <v>0.8</v>
      </c>
      <c r="E59" s="18">
        <v>0.9</v>
      </c>
      <c r="F59" s="2">
        <f t="shared" si="0"/>
        <v>72.000000000000014</v>
      </c>
      <c r="G59" s="5">
        <f t="shared" si="1"/>
        <v>34.871191548325363</v>
      </c>
    </row>
    <row r="60" spans="1:7" x14ac:dyDescent="0.25">
      <c r="A60" s="17">
        <v>56</v>
      </c>
      <c r="B60" s="2" t="s">
        <v>65</v>
      </c>
      <c r="C60" s="2">
        <v>160</v>
      </c>
      <c r="D60" s="8">
        <v>0.7</v>
      </c>
      <c r="E60" s="18">
        <v>0.9</v>
      </c>
      <c r="F60" s="2">
        <f t="shared" si="0"/>
        <v>100.8</v>
      </c>
      <c r="G60" s="5">
        <f t="shared" si="1"/>
        <v>48.81966816765555</v>
      </c>
    </row>
    <row r="61" spans="1:7" x14ac:dyDescent="0.25">
      <c r="A61" s="17">
        <v>57</v>
      </c>
      <c r="B61" s="2" t="s">
        <v>66</v>
      </c>
      <c r="C61" s="2">
        <v>200</v>
      </c>
      <c r="D61" s="8">
        <v>0.6</v>
      </c>
      <c r="E61" s="18">
        <v>0.9</v>
      </c>
      <c r="F61" s="2">
        <f t="shared" si="0"/>
        <v>108</v>
      </c>
      <c r="G61" s="5">
        <f t="shared" si="1"/>
        <v>52.306787322488084</v>
      </c>
    </row>
    <row r="62" spans="1:7" x14ac:dyDescent="0.25">
      <c r="A62" s="17">
        <v>58</v>
      </c>
      <c r="B62" s="2" t="s">
        <v>67</v>
      </c>
      <c r="C62" s="2">
        <v>200</v>
      </c>
      <c r="D62" s="8">
        <v>0.4</v>
      </c>
      <c r="E62" s="18">
        <v>0.9</v>
      </c>
      <c r="F62" s="2">
        <f t="shared" si="0"/>
        <v>72.000000000000014</v>
      </c>
      <c r="G62" s="5">
        <f t="shared" si="1"/>
        <v>34.871191548325363</v>
      </c>
    </row>
    <row r="63" spans="1:7" x14ac:dyDescent="0.25">
      <c r="A63" s="17">
        <v>59</v>
      </c>
      <c r="B63" s="2" t="s">
        <v>68</v>
      </c>
      <c r="C63" s="2">
        <v>200</v>
      </c>
      <c r="D63" s="8">
        <v>0.8</v>
      </c>
      <c r="E63" s="18">
        <v>0.9</v>
      </c>
      <c r="F63" s="2">
        <f t="shared" si="0"/>
        <v>144.00000000000003</v>
      </c>
      <c r="G63" s="5">
        <f t="shared" si="1"/>
        <v>69.742383096650727</v>
      </c>
    </row>
    <row r="64" spans="1:7" x14ac:dyDescent="0.25">
      <c r="A64" s="17">
        <v>60</v>
      </c>
      <c r="B64" s="2" t="s">
        <v>69</v>
      </c>
      <c r="C64" s="2">
        <v>200</v>
      </c>
      <c r="D64" s="8">
        <v>0.8</v>
      </c>
      <c r="E64" s="18">
        <v>0.9</v>
      </c>
      <c r="F64" s="2">
        <f t="shared" si="0"/>
        <v>144.00000000000003</v>
      </c>
      <c r="G64" s="5">
        <f t="shared" si="1"/>
        <v>69.742383096650727</v>
      </c>
    </row>
    <row r="65" spans="1:7" x14ac:dyDescent="0.25">
      <c r="A65" s="17">
        <v>61</v>
      </c>
      <c r="B65" s="2" t="s">
        <v>70</v>
      </c>
      <c r="C65" s="2">
        <v>400</v>
      </c>
      <c r="D65" s="8">
        <v>0.6</v>
      </c>
      <c r="E65" s="18">
        <v>0.9</v>
      </c>
      <c r="F65" s="2">
        <f t="shared" si="0"/>
        <v>216</v>
      </c>
      <c r="G65" s="5">
        <f t="shared" si="1"/>
        <v>104.61357464497617</v>
      </c>
    </row>
    <row r="66" spans="1:7" x14ac:dyDescent="0.25">
      <c r="A66" s="17">
        <v>62</v>
      </c>
      <c r="B66" s="2" t="s">
        <v>71</v>
      </c>
      <c r="C66" s="2">
        <v>400</v>
      </c>
      <c r="D66" s="8">
        <v>0.6</v>
      </c>
      <c r="E66" s="18">
        <v>0.9</v>
      </c>
      <c r="F66" s="2">
        <f t="shared" si="0"/>
        <v>216</v>
      </c>
      <c r="G66" s="5">
        <f t="shared" si="1"/>
        <v>104.61357464497617</v>
      </c>
    </row>
    <row r="67" spans="1:7" x14ac:dyDescent="0.25">
      <c r="A67" s="17">
        <v>63</v>
      </c>
      <c r="B67" s="2" t="s">
        <v>72</v>
      </c>
      <c r="C67" s="2">
        <v>160</v>
      </c>
      <c r="D67" s="8">
        <v>0.8</v>
      </c>
      <c r="E67" s="18">
        <v>0.9</v>
      </c>
      <c r="F67" s="2">
        <f t="shared" si="0"/>
        <v>115.20000000000002</v>
      </c>
      <c r="G67" s="5">
        <f t="shared" si="1"/>
        <v>55.793906477320583</v>
      </c>
    </row>
    <row r="68" spans="1:7" x14ac:dyDescent="0.25">
      <c r="A68" s="17">
        <v>64</v>
      </c>
      <c r="B68" s="2" t="s">
        <v>73</v>
      </c>
      <c r="C68" s="2">
        <v>200</v>
      </c>
      <c r="D68" s="8">
        <v>0.7</v>
      </c>
      <c r="E68" s="18">
        <v>0.9</v>
      </c>
      <c r="F68" s="2">
        <f t="shared" ref="F68:F124" si="2">( C68 * (D68 / 100) * E68)*100</f>
        <v>126</v>
      </c>
      <c r="G68" s="5">
        <f t="shared" ref="G68:G124" si="3" xml:space="preserve"> SQRT((C68 * (D68 ))^2 - F68^2)</f>
        <v>61.02458520956943</v>
      </c>
    </row>
    <row r="69" spans="1:7" x14ac:dyDescent="0.25">
      <c r="A69" s="17">
        <v>65</v>
      </c>
      <c r="B69" s="2" t="s">
        <v>74</v>
      </c>
      <c r="C69" s="2">
        <v>200</v>
      </c>
      <c r="D69" s="8">
        <v>0.8</v>
      </c>
      <c r="E69" s="18">
        <v>0.9</v>
      </c>
      <c r="F69" s="2">
        <f t="shared" si="2"/>
        <v>144.00000000000003</v>
      </c>
      <c r="G69" s="5">
        <f t="shared" si="3"/>
        <v>69.742383096650727</v>
      </c>
    </row>
    <row r="70" spans="1:7" x14ac:dyDescent="0.25">
      <c r="A70" s="17">
        <v>66</v>
      </c>
      <c r="B70" s="2" t="s">
        <v>75</v>
      </c>
      <c r="C70" s="2">
        <v>100</v>
      </c>
      <c r="D70" s="8">
        <v>0.7</v>
      </c>
      <c r="E70" s="18">
        <v>0.9</v>
      </c>
      <c r="F70" s="2">
        <f t="shared" si="2"/>
        <v>63</v>
      </c>
      <c r="G70" s="5">
        <f t="shared" si="3"/>
        <v>30.512292604784715</v>
      </c>
    </row>
    <row r="71" spans="1:7" x14ac:dyDescent="0.25">
      <c r="A71" s="17">
        <v>67</v>
      </c>
      <c r="B71" s="2" t="s">
        <v>76</v>
      </c>
      <c r="C71" s="2">
        <v>400</v>
      </c>
      <c r="D71" s="8">
        <v>0.6</v>
      </c>
      <c r="E71" s="18">
        <v>0.9</v>
      </c>
      <c r="F71" s="2">
        <f t="shared" si="2"/>
        <v>216</v>
      </c>
      <c r="G71" s="5">
        <f t="shared" si="3"/>
        <v>104.61357464497617</v>
      </c>
    </row>
    <row r="72" spans="1:7" x14ac:dyDescent="0.25">
      <c r="A72" s="17">
        <v>68</v>
      </c>
      <c r="B72" s="2" t="s">
        <v>77</v>
      </c>
      <c r="C72" s="2">
        <v>200</v>
      </c>
      <c r="D72" s="8">
        <v>0.8</v>
      </c>
      <c r="E72" s="18">
        <v>0.9</v>
      </c>
      <c r="F72" s="2">
        <f t="shared" si="2"/>
        <v>144.00000000000003</v>
      </c>
      <c r="G72" s="5">
        <f t="shared" si="3"/>
        <v>69.742383096650727</v>
      </c>
    </row>
    <row r="73" spans="1:7" x14ac:dyDescent="0.25">
      <c r="A73" s="17">
        <v>69</v>
      </c>
      <c r="B73" s="2" t="s">
        <v>78</v>
      </c>
      <c r="C73" s="2">
        <v>200</v>
      </c>
      <c r="D73" s="8">
        <v>0.5</v>
      </c>
      <c r="E73" s="18">
        <v>0.9</v>
      </c>
      <c r="F73" s="2">
        <f t="shared" si="2"/>
        <v>90</v>
      </c>
      <c r="G73" s="5">
        <f t="shared" si="3"/>
        <v>43.588989435406738</v>
      </c>
    </row>
    <row r="74" spans="1:7" x14ac:dyDescent="0.25">
      <c r="A74" s="17">
        <v>70</v>
      </c>
      <c r="B74" s="2" t="s">
        <v>79</v>
      </c>
      <c r="C74" s="2">
        <v>100</v>
      </c>
      <c r="D74" s="8">
        <v>0.7</v>
      </c>
      <c r="E74" s="18">
        <v>0.9</v>
      </c>
      <c r="F74" s="2">
        <f t="shared" si="2"/>
        <v>63</v>
      </c>
      <c r="G74" s="5">
        <f t="shared" si="3"/>
        <v>30.512292604784715</v>
      </c>
    </row>
    <row r="75" spans="1:7" x14ac:dyDescent="0.25">
      <c r="A75" s="17">
        <v>71</v>
      </c>
      <c r="B75" s="2" t="s">
        <v>80</v>
      </c>
      <c r="C75" s="2">
        <v>400</v>
      </c>
      <c r="D75" s="8">
        <v>0.6</v>
      </c>
      <c r="E75" s="18">
        <v>0.9</v>
      </c>
      <c r="F75" s="2">
        <f t="shared" si="2"/>
        <v>216</v>
      </c>
      <c r="G75" s="5">
        <f t="shared" si="3"/>
        <v>104.61357464497617</v>
      </c>
    </row>
    <row r="76" spans="1:7" x14ac:dyDescent="0.25">
      <c r="A76" s="17">
        <v>72</v>
      </c>
      <c r="B76" s="2" t="s">
        <v>81</v>
      </c>
      <c r="C76" s="2">
        <v>160</v>
      </c>
      <c r="D76" s="8">
        <v>0.8</v>
      </c>
      <c r="E76" s="18">
        <v>0.9</v>
      </c>
      <c r="F76" s="2">
        <f t="shared" si="2"/>
        <v>115.20000000000002</v>
      </c>
      <c r="G76" s="5">
        <f t="shared" si="3"/>
        <v>55.793906477320583</v>
      </c>
    </row>
    <row r="77" spans="1:7" x14ac:dyDescent="0.25">
      <c r="A77" s="17">
        <v>73</v>
      </c>
      <c r="B77" s="2" t="s">
        <v>82</v>
      </c>
      <c r="C77" s="2">
        <v>100</v>
      </c>
      <c r="D77" s="8">
        <v>0.8</v>
      </c>
      <c r="E77" s="18">
        <v>0.9</v>
      </c>
      <c r="F77" s="2">
        <f t="shared" si="2"/>
        <v>72.000000000000014</v>
      </c>
      <c r="G77" s="5">
        <f t="shared" si="3"/>
        <v>34.871191548325363</v>
      </c>
    </row>
    <row r="78" spans="1:7" x14ac:dyDescent="0.25">
      <c r="A78" s="17">
        <v>74</v>
      </c>
      <c r="B78" s="2" t="s">
        <v>83</v>
      </c>
      <c r="C78" s="2">
        <v>315</v>
      </c>
      <c r="D78" s="8">
        <v>0.4</v>
      </c>
      <c r="E78" s="18">
        <v>0.9</v>
      </c>
      <c r="F78" s="2">
        <f t="shared" si="2"/>
        <v>113.4</v>
      </c>
      <c r="G78" s="5">
        <f t="shared" si="3"/>
        <v>54.922126688612472</v>
      </c>
    </row>
    <row r="79" spans="1:7" x14ac:dyDescent="0.25">
      <c r="A79" s="17">
        <v>75</v>
      </c>
      <c r="B79" s="2" t="s">
        <v>84</v>
      </c>
      <c r="C79" s="2">
        <v>630</v>
      </c>
      <c r="D79" s="8">
        <v>0.5</v>
      </c>
      <c r="E79" s="18">
        <v>0.9</v>
      </c>
      <c r="F79" s="2">
        <f t="shared" si="2"/>
        <v>283.5</v>
      </c>
      <c r="G79" s="5">
        <f t="shared" si="3"/>
        <v>137.30531672153123</v>
      </c>
    </row>
    <row r="80" spans="1:7" x14ac:dyDescent="0.25">
      <c r="A80" s="17">
        <v>76</v>
      </c>
      <c r="B80" s="2" t="s">
        <v>85</v>
      </c>
      <c r="C80" s="2">
        <v>200</v>
      </c>
      <c r="D80" s="8">
        <v>0.8</v>
      </c>
      <c r="E80" s="18">
        <v>0.9</v>
      </c>
      <c r="F80" s="2">
        <f t="shared" si="2"/>
        <v>144.00000000000003</v>
      </c>
      <c r="G80" s="5">
        <f t="shared" si="3"/>
        <v>69.742383096650727</v>
      </c>
    </row>
    <row r="81" spans="1:7" x14ac:dyDescent="0.25">
      <c r="A81" s="17">
        <v>77</v>
      </c>
      <c r="B81" s="2" t="s">
        <v>86</v>
      </c>
      <c r="C81" s="2">
        <v>200</v>
      </c>
      <c r="D81" s="8">
        <v>0.8</v>
      </c>
      <c r="E81" s="18">
        <v>0.9</v>
      </c>
      <c r="F81" s="2">
        <f t="shared" si="2"/>
        <v>144.00000000000003</v>
      </c>
      <c r="G81" s="5">
        <f t="shared" si="3"/>
        <v>69.742383096650727</v>
      </c>
    </row>
    <row r="82" spans="1:7" x14ac:dyDescent="0.25">
      <c r="A82" s="17">
        <v>78</v>
      </c>
      <c r="B82" s="2" t="s">
        <v>87</v>
      </c>
      <c r="C82" s="2">
        <v>200</v>
      </c>
      <c r="D82" s="8">
        <v>0.8</v>
      </c>
      <c r="E82" s="18">
        <v>0.9</v>
      </c>
      <c r="F82" s="2">
        <f t="shared" si="2"/>
        <v>144.00000000000003</v>
      </c>
      <c r="G82" s="5">
        <f t="shared" si="3"/>
        <v>69.742383096650727</v>
      </c>
    </row>
    <row r="83" spans="1:7" x14ac:dyDescent="0.25">
      <c r="A83" s="17">
        <v>79</v>
      </c>
      <c r="B83" s="2" t="s">
        <v>88</v>
      </c>
      <c r="C83" s="2">
        <v>750</v>
      </c>
      <c r="D83" s="8">
        <v>0.6</v>
      </c>
      <c r="E83" s="18">
        <v>0.9</v>
      </c>
      <c r="F83" s="2">
        <f t="shared" si="2"/>
        <v>405</v>
      </c>
      <c r="G83" s="5">
        <f t="shared" si="3"/>
        <v>196.1504524593303</v>
      </c>
    </row>
    <row r="84" spans="1:7" x14ac:dyDescent="0.25">
      <c r="A84" s="17">
        <v>80</v>
      </c>
      <c r="B84" s="2" t="s">
        <v>89</v>
      </c>
      <c r="C84" s="2">
        <v>260</v>
      </c>
      <c r="D84" s="8">
        <v>0.7</v>
      </c>
      <c r="E84" s="18">
        <v>0.9</v>
      </c>
      <c r="F84" s="2">
        <f t="shared" si="2"/>
        <v>163.79999999999998</v>
      </c>
      <c r="G84" s="5">
        <f t="shared" si="3"/>
        <v>79.331960772440283</v>
      </c>
    </row>
    <row r="85" spans="1:7" x14ac:dyDescent="0.25">
      <c r="A85" s="17">
        <v>81</v>
      </c>
      <c r="B85" s="2" t="s">
        <v>90</v>
      </c>
      <c r="C85" s="2">
        <v>200</v>
      </c>
      <c r="D85" s="8">
        <v>0.6</v>
      </c>
      <c r="E85" s="18">
        <v>0.9</v>
      </c>
      <c r="F85" s="2">
        <f t="shared" si="2"/>
        <v>108</v>
      </c>
      <c r="G85" s="5">
        <f t="shared" si="3"/>
        <v>52.306787322488084</v>
      </c>
    </row>
    <row r="86" spans="1:7" x14ac:dyDescent="0.25">
      <c r="A86" s="15" t="s">
        <v>91</v>
      </c>
      <c r="B86" s="15"/>
      <c r="C86" s="15"/>
      <c r="D86" s="15"/>
      <c r="E86" s="15"/>
      <c r="F86" s="15"/>
      <c r="G86" s="15"/>
    </row>
    <row r="87" spans="1:7" x14ac:dyDescent="0.25">
      <c r="A87" s="17">
        <v>82</v>
      </c>
      <c r="B87" s="2" t="s">
        <v>92</v>
      </c>
      <c r="C87" s="2">
        <v>200</v>
      </c>
      <c r="D87" s="8">
        <v>0.6</v>
      </c>
      <c r="E87" s="18">
        <v>0.9</v>
      </c>
      <c r="F87" s="2">
        <f t="shared" si="2"/>
        <v>108</v>
      </c>
      <c r="G87" s="5">
        <f t="shared" si="3"/>
        <v>52.306787322488084</v>
      </c>
    </row>
    <row r="88" spans="1:7" x14ac:dyDescent="0.25">
      <c r="A88" s="17">
        <v>83</v>
      </c>
      <c r="B88" s="2" t="s">
        <v>93</v>
      </c>
      <c r="C88" s="2">
        <v>200</v>
      </c>
      <c r="D88" s="8">
        <v>0.8</v>
      </c>
      <c r="E88" s="18">
        <v>0.9</v>
      </c>
      <c r="F88" s="2">
        <f t="shared" si="2"/>
        <v>144.00000000000003</v>
      </c>
      <c r="G88" s="5">
        <f t="shared" si="3"/>
        <v>69.742383096650727</v>
      </c>
    </row>
    <row r="89" spans="1:7" x14ac:dyDescent="0.25">
      <c r="A89" s="17">
        <v>84</v>
      </c>
      <c r="B89" s="2" t="s">
        <v>94</v>
      </c>
      <c r="C89" s="2">
        <v>200</v>
      </c>
      <c r="D89" s="8">
        <v>0.8</v>
      </c>
      <c r="E89" s="18">
        <v>0.9</v>
      </c>
      <c r="F89" s="2">
        <f t="shared" si="2"/>
        <v>144.00000000000003</v>
      </c>
      <c r="G89" s="5">
        <f t="shared" si="3"/>
        <v>69.742383096650727</v>
      </c>
    </row>
    <row r="90" spans="1:7" x14ac:dyDescent="0.25">
      <c r="A90" s="17">
        <v>85</v>
      </c>
      <c r="B90" s="2" t="s">
        <v>95</v>
      </c>
      <c r="C90" s="2">
        <v>200</v>
      </c>
      <c r="D90" s="8">
        <v>0.6</v>
      </c>
      <c r="E90" s="18">
        <v>0.9</v>
      </c>
      <c r="F90" s="2">
        <f t="shared" si="2"/>
        <v>108</v>
      </c>
      <c r="G90" s="5">
        <f t="shared" si="3"/>
        <v>52.306787322488084</v>
      </c>
    </row>
    <row r="91" spans="1:7" x14ac:dyDescent="0.25">
      <c r="A91" s="17">
        <v>86</v>
      </c>
      <c r="B91" s="2" t="s">
        <v>96</v>
      </c>
      <c r="C91" s="2">
        <v>200</v>
      </c>
      <c r="D91" s="8">
        <v>0.8</v>
      </c>
      <c r="E91" s="18">
        <v>0.9</v>
      </c>
      <c r="F91" s="2">
        <f t="shared" si="2"/>
        <v>144.00000000000003</v>
      </c>
      <c r="G91" s="5">
        <f t="shared" si="3"/>
        <v>69.742383096650727</v>
      </c>
    </row>
    <row r="92" spans="1:7" x14ac:dyDescent="0.25">
      <c r="A92" s="17">
        <v>87</v>
      </c>
      <c r="B92" s="2" t="s">
        <v>97</v>
      </c>
      <c r="C92" s="2">
        <v>200</v>
      </c>
      <c r="D92" s="8">
        <v>0.8</v>
      </c>
      <c r="E92" s="18">
        <v>0.9</v>
      </c>
      <c r="F92" s="2">
        <f t="shared" si="2"/>
        <v>144.00000000000003</v>
      </c>
      <c r="G92" s="5">
        <f t="shared" si="3"/>
        <v>69.742383096650727</v>
      </c>
    </row>
    <row r="93" spans="1:7" x14ac:dyDescent="0.25">
      <c r="A93" s="17">
        <v>88</v>
      </c>
      <c r="B93" s="2" t="s">
        <v>98</v>
      </c>
      <c r="C93" s="2">
        <v>160</v>
      </c>
      <c r="D93" s="8">
        <v>0.6</v>
      </c>
      <c r="E93" s="18">
        <v>0.9</v>
      </c>
      <c r="F93" s="2">
        <f t="shared" si="2"/>
        <v>86.4</v>
      </c>
      <c r="G93" s="5">
        <f t="shared" si="3"/>
        <v>41.845429857990453</v>
      </c>
    </row>
    <row r="94" spans="1:7" x14ac:dyDescent="0.25">
      <c r="A94" s="17">
        <v>89</v>
      </c>
      <c r="B94" s="2" t="s">
        <v>99</v>
      </c>
      <c r="C94" s="2">
        <v>200</v>
      </c>
      <c r="D94" s="8">
        <v>0.7</v>
      </c>
      <c r="E94" s="18">
        <v>0.9</v>
      </c>
      <c r="F94" s="2">
        <f t="shared" si="2"/>
        <v>126</v>
      </c>
      <c r="G94" s="5">
        <f t="shared" si="3"/>
        <v>61.02458520956943</v>
      </c>
    </row>
    <row r="95" spans="1:7" x14ac:dyDescent="0.25">
      <c r="A95" s="17">
        <v>90</v>
      </c>
      <c r="B95" s="2" t="s">
        <v>100</v>
      </c>
      <c r="C95" s="2">
        <v>200</v>
      </c>
      <c r="D95" s="8">
        <v>0.7</v>
      </c>
      <c r="E95" s="18">
        <v>0.9</v>
      </c>
      <c r="F95" s="2">
        <f t="shared" si="2"/>
        <v>126</v>
      </c>
      <c r="G95" s="5">
        <f t="shared" si="3"/>
        <v>61.02458520956943</v>
      </c>
    </row>
    <row r="96" spans="1:7" x14ac:dyDescent="0.25">
      <c r="A96" s="17">
        <v>91</v>
      </c>
      <c r="B96" s="2" t="s">
        <v>101</v>
      </c>
      <c r="C96" s="2">
        <v>150</v>
      </c>
      <c r="D96" s="8">
        <v>0.8</v>
      </c>
      <c r="E96" s="18">
        <v>0.9</v>
      </c>
      <c r="F96" s="2">
        <f t="shared" si="2"/>
        <v>108</v>
      </c>
      <c r="G96" s="5">
        <f t="shared" si="3"/>
        <v>52.306787322488084</v>
      </c>
    </row>
    <row r="97" spans="1:7" x14ac:dyDescent="0.25">
      <c r="A97" s="17">
        <v>92</v>
      </c>
      <c r="B97" s="2" t="s">
        <v>102</v>
      </c>
      <c r="C97" s="2">
        <v>200</v>
      </c>
      <c r="D97" s="8">
        <v>0.6</v>
      </c>
      <c r="E97" s="18">
        <v>0.9</v>
      </c>
      <c r="F97" s="2">
        <f t="shared" si="2"/>
        <v>108</v>
      </c>
      <c r="G97" s="5">
        <f t="shared" si="3"/>
        <v>52.306787322488084</v>
      </c>
    </row>
    <row r="98" spans="1:7" x14ac:dyDescent="0.25">
      <c r="A98" s="17">
        <v>93</v>
      </c>
      <c r="B98" s="2" t="s">
        <v>103</v>
      </c>
      <c r="C98" s="2">
        <v>200</v>
      </c>
      <c r="D98" s="8">
        <v>0.8</v>
      </c>
      <c r="E98" s="18">
        <v>0.9</v>
      </c>
      <c r="F98" s="2">
        <f t="shared" si="2"/>
        <v>144.00000000000003</v>
      </c>
      <c r="G98" s="5">
        <f t="shared" si="3"/>
        <v>69.742383096650727</v>
      </c>
    </row>
    <row r="99" spans="1:7" x14ac:dyDescent="0.25">
      <c r="A99" s="17">
        <v>94</v>
      </c>
      <c r="B99" s="2" t="s">
        <v>104</v>
      </c>
      <c r="C99" s="2">
        <v>160</v>
      </c>
      <c r="D99" s="8">
        <v>0.6</v>
      </c>
      <c r="E99" s="18">
        <v>0.9</v>
      </c>
      <c r="F99" s="2">
        <f t="shared" si="2"/>
        <v>86.4</v>
      </c>
      <c r="G99" s="5">
        <f t="shared" si="3"/>
        <v>41.845429857990453</v>
      </c>
    </row>
    <row r="100" spans="1:7" x14ac:dyDescent="0.25">
      <c r="A100" s="17">
        <v>95</v>
      </c>
      <c r="B100" s="2" t="s">
        <v>105</v>
      </c>
      <c r="C100" s="2">
        <v>200</v>
      </c>
      <c r="D100" s="8">
        <v>0.8</v>
      </c>
      <c r="E100" s="18">
        <v>0.9</v>
      </c>
      <c r="F100" s="2">
        <f t="shared" si="2"/>
        <v>144.00000000000003</v>
      </c>
      <c r="G100" s="5">
        <f t="shared" si="3"/>
        <v>69.742383096650727</v>
      </c>
    </row>
    <row r="101" spans="1:7" x14ac:dyDescent="0.25">
      <c r="A101" s="17">
        <v>96</v>
      </c>
      <c r="B101" s="2" t="s">
        <v>106</v>
      </c>
      <c r="C101" s="2">
        <v>100</v>
      </c>
      <c r="D101" s="8">
        <v>0.6</v>
      </c>
      <c r="E101" s="18">
        <v>0.9</v>
      </c>
      <c r="F101" s="2">
        <f t="shared" si="2"/>
        <v>54</v>
      </c>
      <c r="G101" s="5">
        <f t="shared" si="3"/>
        <v>26.153393661244042</v>
      </c>
    </row>
    <row r="102" spans="1:7" x14ac:dyDescent="0.25">
      <c r="A102" s="17">
        <v>97</v>
      </c>
      <c r="B102" s="2" t="s">
        <v>107</v>
      </c>
      <c r="C102" s="2">
        <v>200</v>
      </c>
      <c r="D102" s="8">
        <v>0.8</v>
      </c>
      <c r="E102" s="18">
        <v>0.9</v>
      </c>
      <c r="F102" s="2">
        <f t="shared" si="2"/>
        <v>144.00000000000003</v>
      </c>
      <c r="G102" s="5">
        <f t="shared" si="3"/>
        <v>69.742383096650727</v>
      </c>
    </row>
    <row r="103" spans="1:7" x14ac:dyDescent="0.25">
      <c r="A103" s="17">
        <v>98</v>
      </c>
      <c r="B103" s="2" t="s">
        <v>108</v>
      </c>
      <c r="C103" s="2">
        <v>200</v>
      </c>
      <c r="D103" s="8">
        <v>0.8</v>
      </c>
      <c r="E103" s="18">
        <v>0.9</v>
      </c>
      <c r="F103" s="2">
        <f t="shared" si="2"/>
        <v>144.00000000000003</v>
      </c>
      <c r="G103" s="5">
        <f t="shared" si="3"/>
        <v>69.742383096650727</v>
      </c>
    </row>
    <row r="104" spans="1:7" x14ac:dyDescent="0.25">
      <c r="A104" s="17">
        <v>99</v>
      </c>
      <c r="B104" s="2" t="s">
        <v>109</v>
      </c>
      <c r="C104" s="2">
        <v>630</v>
      </c>
      <c r="D104" s="19">
        <v>0.5</v>
      </c>
      <c r="E104" s="18">
        <v>0.9</v>
      </c>
      <c r="F104" s="2">
        <f t="shared" si="2"/>
        <v>283.5</v>
      </c>
      <c r="G104" s="5">
        <f t="shared" si="3"/>
        <v>137.30531672153123</v>
      </c>
    </row>
    <row r="105" spans="1:7" x14ac:dyDescent="0.25">
      <c r="A105" s="17">
        <v>100</v>
      </c>
      <c r="B105" s="2" t="s">
        <v>110</v>
      </c>
      <c r="C105" s="2">
        <v>200</v>
      </c>
      <c r="D105" s="19">
        <v>0.5</v>
      </c>
      <c r="E105" s="18">
        <v>0.9</v>
      </c>
      <c r="F105" s="2">
        <f t="shared" si="2"/>
        <v>90</v>
      </c>
      <c r="G105" s="5">
        <f t="shared" si="3"/>
        <v>43.588989435406738</v>
      </c>
    </row>
    <row r="106" spans="1:7" x14ac:dyDescent="0.25">
      <c r="A106" s="17">
        <v>101</v>
      </c>
      <c r="B106" s="2" t="s">
        <v>111</v>
      </c>
      <c r="C106" s="2">
        <v>400</v>
      </c>
      <c r="D106" s="19">
        <v>0.5</v>
      </c>
      <c r="E106" s="18">
        <v>0.9</v>
      </c>
      <c r="F106" s="2">
        <f t="shared" si="2"/>
        <v>180</v>
      </c>
      <c r="G106" s="5">
        <f t="shared" si="3"/>
        <v>87.177978870813476</v>
      </c>
    </row>
    <row r="107" spans="1:7" x14ac:dyDescent="0.25">
      <c r="A107" s="17">
        <v>102</v>
      </c>
      <c r="B107" s="2" t="s">
        <v>112</v>
      </c>
      <c r="C107" s="2">
        <v>200</v>
      </c>
      <c r="D107" s="19">
        <v>0.7</v>
      </c>
      <c r="E107" s="18">
        <v>0.9</v>
      </c>
      <c r="F107" s="2">
        <f t="shared" si="2"/>
        <v>126</v>
      </c>
      <c r="G107" s="5">
        <f t="shared" si="3"/>
        <v>61.02458520956943</v>
      </c>
    </row>
    <row r="108" spans="1:7" x14ac:dyDescent="0.25">
      <c r="A108" s="17">
        <v>103</v>
      </c>
      <c r="B108" s="2" t="s">
        <v>113</v>
      </c>
      <c r="C108" s="2">
        <v>200</v>
      </c>
      <c r="D108" s="19">
        <v>0.8</v>
      </c>
      <c r="E108" s="18">
        <v>0.9</v>
      </c>
      <c r="F108" s="2">
        <f t="shared" si="2"/>
        <v>144.00000000000003</v>
      </c>
      <c r="G108" s="5">
        <f t="shared" si="3"/>
        <v>69.742383096650727</v>
      </c>
    </row>
    <row r="109" spans="1:7" x14ac:dyDescent="0.25">
      <c r="A109" s="17">
        <v>104</v>
      </c>
      <c r="B109" s="2" t="s">
        <v>114</v>
      </c>
      <c r="C109" s="2">
        <v>200</v>
      </c>
      <c r="D109" s="19">
        <v>0.8</v>
      </c>
      <c r="E109" s="18">
        <v>0.9</v>
      </c>
      <c r="F109" s="2">
        <f t="shared" si="2"/>
        <v>144.00000000000003</v>
      </c>
      <c r="G109" s="5">
        <f t="shared" si="3"/>
        <v>69.742383096650727</v>
      </c>
    </row>
    <row r="110" spans="1:7" x14ac:dyDescent="0.25">
      <c r="A110" s="17">
        <v>105</v>
      </c>
      <c r="B110" s="2" t="s">
        <v>115</v>
      </c>
      <c r="C110" s="2">
        <v>200</v>
      </c>
      <c r="D110" s="19">
        <v>0.8</v>
      </c>
      <c r="E110" s="18">
        <v>0.9</v>
      </c>
      <c r="F110" s="2">
        <f t="shared" si="2"/>
        <v>144.00000000000003</v>
      </c>
      <c r="G110" s="5">
        <f t="shared" si="3"/>
        <v>69.742383096650727</v>
      </c>
    </row>
    <row r="111" spans="1:7" x14ac:dyDescent="0.25">
      <c r="A111" s="17">
        <v>106</v>
      </c>
      <c r="B111" s="2" t="s">
        <v>116</v>
      </c>
      <c r="C111" s="2">
        <v>400</v>
      </c>
      <c r="D111" s="19">
        <v>0.7</v>
      </c>
      <c r="E111" s="18">
        <v>0.9</v>
      </c>
      <c r="F111" s="2">
        <f t="shared" si="2"/>
        <v>252</v>
      </c>
      <c r="G111" s="5">
        <f t="shared" si="3"/>
        <v>122.04917041913886</v>
      </c>
    </row>
    <row r="112" spans="1:7" x14ac:dyDescent="0.25">
      <c r="A112" s="17">
        <v>107</v>
      </c>
      <c r="B112" s="2" t="s">
        <v>117</v>
      </c>
      <c r="C112" s="2">
        <v>400</v>
      </c>
      <c r="D112" s="19">
        <v>0.7</v>
      </c>
      <c r="E112" s="18">
        <v>0.9</v>
      </c>
      <c r="F112" s="2">
        <f t="shared" si="2"/>
        <v>252</v>
      </c>
      <c r="G112" s="5">
        <f t="shared" si="3"/>
        <v>122.04917041913886</v>
      </c>
    </row>
    <row r="113" spans="1:7" x14ac:dyDescent="0.25">
      <c r="A113" s="17">
        <v>108</v>
      </c>
      <c r="B113" s="2" t="s">
        <v>118</v>
      </c>
      <c r="C113" s="2">
        <v>200</v>
      </c>
      <c r="D113" s="19">
        <v>0.8</v>
      </c>
      <c r="E113" s="18">
        <v>0.9</v>
      </c>
      <c r="F113" s="2">
        <f t="shared" si="2"/>
        <v>144.00000000000003</v>
      </c>
      <c r="G113" s="5">
        <f t="shared" si="3"/>
        <v>69.742383096650727</v>
      </c>
    </row>
    <row r="114" spans="1:7" x14ac:dyDescent="0.25">
      <c r="A114" s="17">
        <v>109</v>
      </c>
      <c r="B114" s="2" t="s">
        <v>119</v>
      </c>
      <c r="C114" s="2">
        <v>160</v>
      </c>
      <c r="D114" s="19">
        <v>0.8</v>
      </c>
      <c r="E114" s="18">
        <v>0.9</v>
      </c>
      <c r="F114" s="2">
        <f t="shared" si="2"/>
        <v>115.20000000000002</v>
      </c>
      <c r="G114" s="5">
        <f t="shared" si="3"/>
        <v>55.793906477320583</v>
      </c>
    </row>
    <row r="115" spans="1:7" x14ac:dyDescent="0.25">
      <c r="A115" s="17">
        <v>110</v>
      </c>
      <c r="B115" s="2" t="s">
        <v>120</v>
      </c>
      <c r="C115" s="2">
        <v>400</v>
      </c>
      <c r="D115" s="19">
        <v>0.6</v>
      </c>
      <c r="E115" s="18">
        <v>0.9</v>
      </c>
      <c r="F115" s="2">
        <f t="shared" si="2"/>
        <v>216</v>
      </c>
      <c r="G115" s="5">
        <f t="shared" si="3"/>
        <v>104.61357464497617</v>
      </c>
    </row>
    <row r="116" spans="1:7" x14ac:dyDescent="0.25">
      <c r="A116" s="17">
        <v>111</v>
      </c>
      <c r="B116" s="2" t="s">
        <v>121</v>
      </c>
      <c r="C116" s="2">
        <v>400</v>
      </c>
      <c r="D116" s="19">
        <v>0.6</v>
      </c>
      <c r="E116" s="18">
        <v>0.9</v>
      </c>
      <c r="F116" s="2">
        <f t="shared" si="2"/>
        <v>216</v>
      </c>
      <c r="G116" s="5">
        <f t="shared" si="3"/>
        <v>104.61357464497617</v>
      </c>
    </row>
    <row r="117" spans="1:7" x14ac:dyDescent="0.25">
      <c r="A117" s="17">
        <v>112</v>
      </c>
      <c r="B117" s="2" t="s">
        <v>122</v>
      </c>
      <c r="C117" s="2">
        <v>200</v>
      </c>
      <c r="D117" s="19">
        <v>0.8</v>
      </c>
      <c r="E117" s="18">
        <v>0.9</v>
      </c>
      <c r="F117" s="2">
        <f t="shared" si="2"/>
        <v>144.00000000000003</v>
      </c>
      <c r="G117" s="5">
        <f t="shared" si="3"/>
        <v>69.742383096650727</v>
      </c>
    </row>
    <row r="118" spans="1:7" x14ac:dyDescent="0.25">
      <c r="A118" s="17">
        <v>113</v>
      </c>
      <c r="B118" s="2" t="s">
        <v>123</v>
      </c>
      <c r="C118" s="2">
        <v>400</v>
      </c>
      <c r="D118" s="19">
        <v>0.6</v>
      </c>
      <c r="E118" s="18">
        <v>0.9</v>
      </c>
      <c r="F118" s="2">
        <f t="shared" si="2"/>
        <v>216</v>
      </c>
      <c r="G118" s="5">
        <f t="shared" si="3"/>
        <v>104.61357464497617</v>
      </c>
    </row>
    <row r="119" spans="1:7" x14ac:dyDescent="0.25">
      <c r="A119" s="17">
        <v>114</v>
      </c>
      <c r="B119" s="2" t="s">
        <v>124</v>
      </c>
      <c r="C119" s="2">
        <v>630</v>
      </c>
      <c r="D119" s="19">
        <v>0.6</v>
      </c>
      <c r="E119" s="18">
        <v>0.9</v>
      </c>
      <c r="F119" s="2">
        <f t="shared" si="2"/>
        <v>340.2</v>
      </c>
      <c r="G119" s="5">
        <f t="shared" si="3"/>
        <v>164.76638006583747</v>
      </c>
    </row>
    <row r="120" spans="1:7" x14ac:dyDescent="0.25">
      <c r="A120" s="17">
        <v>115</v>
      </c>
      <c r="B120" s="2" t="s">
        <v>125</v>
      </c>
      <c r="C120" s="2">
        <v>400</v>
      </c>
      <c r="D120" s="19">
        <v>0.5</v>
      </c>
      <c r="E120" s="18">
        <v>0.9</v>
      </c>
      <c r="F120" s="2">
        <f t="shared" si="2"/>
        <v>180</v>
      </c>
      <c r="G120" s="5">
        <f t="shared" si="3"/>
        <v>87.177978870813476</v>
      </c>
    </row>
    <row r="121" spans="1:7" x14ac:dyDescent="0.25">
      <c r="A121" s="17">
        <v>116</v>
      </c>
      <c r="B121" s="2" t="s">
        <v>126</v>
      </c>
      <c r="C121" s="2">
        <v>200</v>
      </c>
      <c r="D121" s="19">
        <v>0.8</v>
      </c>
      <c r="E121" s="18">
        <v>0.9</v>
      </c>
      <c r="F121" s="2">
        <f t="shared" si="2"/>
        <v>144.00000000000003</v>
      </c>
      <c r="G121" s="5">
        <f t="shared" si="3"/>
        <v>69.742383096650727</v>
      </c>
    </row>
    <row r="122" spans="1:7" x14ac:dyDescent="0.25">
      <c r="A122" s="17">
        <v>117</v>
      </c>
      <c r="B122" s="2" t="s">
        <v>127</v>
      </c>
      <c r="C122" s="2">
        <v>400</v>
      </c>
      <c r="D122" s="19">
        <v>0.6</v>
      </c>
      <c r="E122" s="18">
        <v>0.9</v>
      </c>
      <c r="F122" s="2">
        <f t="shared" si="2"/>
        <v>216</v>
      </c>
      <c r="G122" s="5">
        <f t="shared" si="3"/>
        <v>104.61357464497617</v>
      </c>
    </row>
    <row r="123" spans="1:7" x14ac:dyDescent="0.25">
      <c r="A123" s="17">
        <v>118</v>
      </c>
      <c r="B123" s="2" t="s">
        <v>128</v>
      </c>
      <c r="C123" s="2">
        <v>222</v>
      </c>
      <c r="D123" s="19">
        <v>0.6</v>
      </c>
      <c r="E123" s="18">
        <v>0.9</v>
      </c>
      <c r="F123" s="2">
        <f t="shared" si="2"/>
        <v>119.88000000000001</v>
      </c>
      <c r="G123" s="5">
        <f t="shared" si="3"/>
        <v>58.060533927961735</v>
      </c>
    </row>
    <row r="124" spans="1:7" x14ac:dyDescent="0.25">
      <c r="A124" s="17">
        <v>119</v>
      </c>
      <c r="B124" s="2" t="s">
        <v>129</v>
      </c>
      <c r="C124" s="2">
        <v>200</v>
      </c>
      <c r="D124" s="19">
        <v>0</v>
      </c>
      <c r="E124" s="18">
        <v>0.9</v>
      </c>
      <c r="F124" s="2">
        <f t="shared" si="2"/>
        <v>0</v>
      </c>
      <c r="G124" s="5">
        <f t="shared" si="3"/>
        <v>0</v>
      </c>
    </row>
    <row r="125" spans="1:7" x14ac:dyDescent="0.25">
      <c r="A125" s="16"/>
    </row>
    <row r="126" spans="1:7" x14ac:dyDescent="0.25">
      <c r="A126" s="16"/>
    </row>
    <row r="127" spans="1:7" x14ac:dyDescent="0.25">
      <c r="A127" s="16"/>
    </row>
    <row r="128" spans="1:7" x14ac:dyDescent="0.25">
      <c r="A128" s="16"/>
    </row>
    <row r="129" spans="1:1" x14ac:dyDescent="0.25">
      <c r="A129" s="16"/>
    </row>
    <row r="130" spans="1:1" x14ac:dyDescent="0.25">
      <c r="A130" s="16"/>
    </row>
    <row r="131" spans="1:1" x14ac:dyDescent="0.25">
      <c r="A131" s="16"/>
    </row>
    <row r="132" spans="1:1" x14ac:dyDescent="0.25">
      <c r="A132" s="16"/>
    </row>
    <row r="133" spans="1:1" x14ac:dyDescent="0.25">
      <c r="A133" s="16"/>
    </row>
    <row r="134" spans="1:1" x14ac:dyDescent="0.25">
      <c r="A134" s="16"/>
    </row>
    <row r="135" spans="1:1" x14ac:dyDescent="0.25">
      <c r="A135" s="16"/>
    </row>
    <row r="136" spans="1:1" x14ac:dyDescent="0.25">
      <c r="A136" s="16"/>
    </row>
    <row r="137" spans="1:1" x14ac:dyDescent="0.25">
      <c r="A137" s="16"/>
    </row>
    <row r="138" spans="1:1" x14ac:dyDescent="0.25">
      <c r="A138" s="16"/>
    </row>
    <row r="139" spans="1:1" x14ac:dyDescent="0.25">
      <c r="A139" s="16"/>
    </row>
    <row r="140" spans="1:1" x14ac:dyDescent="0.25">
      <c r="A140" s="16"/>
    </row>
    <row r="141" spans="1:1" x14ac:dyDescent="0.25">
      <c r="A141" s="16"/>
    </row>
    <row r="142" spans="1:1" x14ac:dyDescent="0.25">
      <c r="A142" s="16"/>
    </row>
    <row r="143" spans="1:1" x14ac:dyDescent="0.25">
      <c r="A143" s="16"/>
    </row>
    <row r="144" spans="1:1" x14ac:dyDescent="0.25">
      <c r="A144" s="16"/>
    </row>
    <row r="145" spans="1:1" x14ac:dyDescent="0.25">
      <c r="A145" s="16"/>
    </row>
    <row r="146" spans="1:1" x14ac:dyDescent="0.25">
      <c r="A146" s="16"/>
    </row>
  </sheetData>
  <mergeCells count="4">
    <mergeCell ref="A26:G26"/>
    <mergeCell ref="A2:G2"/>
    <mergeCell ref="A56:G56"/>
    <mergeCell ref="A86:G8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</cp:lastModifiedBy>
  <dcterms:created xsi:type="dcterms:W3CDTF">2025-07-15T09:37:36Z</dcterms:created>
  <dcterms:modified xsi:type="dcterms:W3CDTF">2025-07-16T15:04:04Z</dcterms:modified>
</cp:coreProperties>
</file>